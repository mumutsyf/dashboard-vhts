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S\PROJEK 2\dashboard-vhts\data\uploads\"/>
    </mc:Choice>
  </mc:AlternateContent>
  <xr:revisionPtr revIDLastSave="0" documentId="13_ncr:1_{1326FBE8-D407-4539-8995-D146C917491B}" xr6:coauthVersionLast="47" xr6:coauthVersionMax="47" xr10:uidLastSave="{00000000-0000-0000-0000-000000000000}"/>
  <bookViews>
    <workbookView xWindow="1656" yWindow="720" windowWidth="21384" windowHeight="12240" xr2:uid="{95263ECA-E473-4778-8E41-2C57C2912B0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<sst xmlns="http://schemas.openxmlformats.org/spreadsheetml/2006/main" count="42" uniqueCount="28">
  <si>
    <t>bulan</t>
  </si>
  <si>
    <t>pml</t>
  </si>
  <si>
    <t>pcl</t>
  </si>
  <si>
    <t>target</t>
  </si>
  <si>
    <t>realisasi</t>
  </si>
  <si>
    <t>persentase</t>
  </si>
  <si>
    <t>Abd. Karim</t>
  </si>
  <si>
    <t>EVA RAHMAWATI</t>
  </si>
  <si>
    <t>RATNAWATI</t>
  </si>
  <si>
    <t>NURUL FAUZIAH</t>
  </si>
  <si>
    <t>SITI LATIFAH</t>
  </si>
  <si>
    <t>TATIK SUPRIYATI</t>
  </si>
  <si>
    <t>INUR HARIJATI</t>
  </si>
  <si>
    <t>M. Amarul Yusron Ir</t>
  </si>
  <si>
    <t>SUYONO</t>
  </si>
  <si>
    <t>HERDIYANTI SIHWARDHANI</t>
  </si>
  <si>
    <t>KASIYANTO</t>
  </si>
  <si>
    <t>Puspa Apriliyana</t>
  </si>
  <si>
    <t>MARIATUN</t>
  </si>
  <si>
    <t>Saumi.S.PD</t>
  </si>
  <si>
    <t>FAJAR ZAINURI</t>
  </si>
  <si>
    <t>ARISTIYANTI</t>
  </si>
  <si>
    <t>LENA SETIYOWATI</t>
  </si>
  <si>
    <t>SOESILO</t>
  </si>
  <si>
    <t>DARDIRI</t>
  </si>
  <si>
    <t>FALAH</t>
  </si>
  <si>
    <t>PUJI</t>
  </si>
  <si>
    <t>SULISTYORINI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</si>
</sst>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4" xfId="0" applyBorder="1"/>
    <xf numFmtId="0" fontId="0" fillId="2" borderId="5" xfId="0" applyFill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2" borderId="6" xfId="0" applyNumberFormat="1" applyFill="1" applyBorder="1"/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PS/PROJEK/Monitoring%2012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data"/>
      <sheetName val="Pivot Total"/>
      <sheetName val="TOTAL"/>
    </sheetNames>
    <sheetDataSet>
      <sheetData sheetId="0"/>
      <sheetData sheetId="1">
        <row r="4">
          <cell r="A4" t="str">
            <v>Abd. Karim</v>
          </cell>
          <cell r="B4">
            <v>12</v>
          </cell>
        </row>
        <row r="5">
          <cell r="A5" t="str">
            <v>Aristiyanti</v>
          </cell>
          <cell r="B5">
            <v>6</v>
          </cell>
        </row>
        <row r="6">
          <cell r="A6" t="str">
            <v>Herdiyanti Sihwardhani</v>
          </cell>
          <cell r="B6">
            <v>7</v>
          </cell>
        </row>
        <row r="7">
          <cell r="A7" t="str">
            <v>Inur Harijati</v>
          </cell>
          <cell r="B7">
            <v>11</v>
          </cell>
        </row>
        <row r="8">
          <cell r="A8" t="str">
            <v>Kasiyanto</v>
          </cell>
          <cell r="B8">
            <v>10</v>
          </cell>
        </row>
        <row r="9">
          <cell r="A9" t="str">
            <v>Lena Setiyowati</v>
          </cell>
          <cell r="B9">
            <v>13</v>
          </cell>
        </row>
        <row r="10">
          <cell r="A10" t="str">
            <v>M. Amarul Yusron Ir</v>
          </cell>
          <cell r="B10">
            <v>14</v>
          </cell>
        </row>
        <row r="11">
          <cell r="A11" t="str">
            <v>MARIATUN</v>
          </cell>
          <cell r="B11">
            <v>11</v>
          </cell>
        </row>
        <row r="12">
          <cell r="A12" t="str">
            <v>Nurul Fauziah</v>
          </cell>
          <cell r="B12">
            <v>11</v>
          </cell>
        </row>
        <row r="13">
          <cell r="A13" t="str">
            <v>Puspa Apriliyana</v>
          </cell>
          <cell r="B13">
            <v>12</v>
          </cell>
        </row>
        <row r="14">
          <cell r="A14" t="str">
            <v>RATNAWATI</v>
          </cell>
          <cell r="B14">
            <v>7</v>
          </cell>
        </row>
        <row r="15">
          <cell r="A15" t="str">
            <v>Saumi.S.PD</v>
          </cell>
          <cell r="B15">
            <v>11</v>
          </cell>
        </row>
        <row r="16">
          <cell r="A16" t="str">
            <v>SITI LATIFAH</v>
          </cell>
          <cell r="B16">
            <v>13</v>
          </cell>
        </row>
        <row r="17">
          <cell r="A17" t="str">
            <v>Soesilo</v>
          </cell>
          <cell r="B17">
            <v>15</v>
          </cell>
        </row>
        <row r="18">
          <cell r="A18" t="str">
            <v>Suyono</v>
          </cell>
          <cell r="B18">
            <v>13</v>
          </cell>
        </row>
        <row r="19">
          <cell r="A19" t="str">
            <v>Tatik supriyati</v>
          </cell>
          <cell r="B19">
            <v>13</v>
          </cell>
        </row>
        <row r="20">
          <cell r="A20" t="str">
            <v>Fajar Zainuri</v>
          </cell>
          <cell r="B20">
            <v>12</v>
          </cell>
        </row>
        <row r="21">
          <cell r="A21" t="str">
            <v>Eva Rahmawati</v>
          </cell>
          <cell r="B21">
            <v>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5F65-4CD0-4239-9928-0692778429AA}">
  <dimension ref="A1:F20"/>
  <sheetViews>
    <sheetView tabSelected="1" workbookViewId="0">
      <selection activeCell="C21" sqref="C21"/>
    </sheetView>
  </sheetViews>
  <sheetFormatPr defaultRowHeight="14.4" x14ac:dyDescent="0.3"/>
  <cols>
    <col min="3" max="3" width="24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11</v>
      </c>
      <c r="B2" s="11" t="s">
        <v>24</v>
      </c>
      <c r="C2" s="2" t="s">
        <v>6</v>
      </c>
      <c r="D2" s="2">
        <v>12</v>
      </c>
      <c r="E2" s="2">
        <f>IFERROR(VLOOKUP(C2,[1]Sheet2!$A$4:$B$21,2,FALSE),0)</f>
        <v>12</v>
      </c>
      <c r="F2" s="7">
        <f>E2*100/D2</f>
        <v>100</v>
      </c>
    </row>
    <row r="3" spans="1:6" x14ac:dyDescent="0.3">
      <c r="A3">
        <v>11</v>
      </c>
      <c r="B3" s="11" t="s">
        <v>24</v>
      </c>
      <c r="C3" s="3" t="s">
        <v>7</v>
      </c>
      <c r="D3" s="3">
        <v>8</v>
      </c>
      <c r="E3" s="2">
        <f>IFERROR(VLOOKUP(C3,[1]Sheet2!$A$4:$B$21,2,FALSE),0)</f>
        <v>8</v>
      </c>
      <c r="F3" s="8">
        <f t="shared" ref="F3:F19" si="0">E3*100/D3</f>
        <v>100</v>
      </c>
    </row>
    <row r="4" spans="1:6" x14ac:dyDescent="0.3">
      <c r="A4">
        <v>11</v>
      </c>
      <c r="B4" s="11" t="s">
        <v>24</v>
      </c>
      <c r="C4" s="3" t="s">
        <v>8</v>
      </c>
      <c r="D4" s="3">
        <v>7</v>
      </c>
      <c r="E4" s="2">
        <f>IFERROR(VLOOKUP(C4,[1]Sheet2!$A$4:$B$21,2,FALSE),0)</f>
        <v>7</v>
      </c>
      <c r="F4" s="8">
        <f t="shared" si="0"/>
        <v>100</v>
      </c>
    </row>
    <row r="5" spans="1:6" x14ac:dyDescent="0.3">
      <c r="A5">
        <v>10</v>
      </c>
      <c r="B5" s="11" t="s">
        <v>24</v>
      </c>
      <c r="C5" s="3" t="s">
        <v>9</v>
      </c>
      <c r="D5" s="3">
        <v>11</v>
      </c>
      <c r="E5" s="2">
        <f>IFERROR(VLOOKUP(C5,[1]Sheet2!$A$4:$B$21,2,FALSE),0)</f>
        <v>11</v>
      </c>
      <c r="F5" s="8">
        <f>E5*100/D5</f>
        <v>100</v>
      </c>
    </row>
    <row r="6" spans="1:6" x14ac:dyDescent="0.3">
      <c r="A6">
        <v>10</v>
      </c>
      <c r="B6" s="11" t="s">
        <v>24</v>
      </c>
      <c r="C6" s="3" t="s">
        <v>10</v>
      </c>
      <c r="D6" s="3">
        <v>13</v>
      </c>
      <c r="E6" s="2">
        <f>IFERROR(VLOOKUP(C6,[1]Sheet2!$A$4:$B$21,2,FALSE),0)</f>
        <v>13</v>
      </c>
      <c r="F6" s="8">
        <f t="shared" si="0"/>
        <v>100</v>
      </c>
    </row>
    <row r="7" spans="1:6" x14ac:dyDescent="0.3">
      <c r="A7">
        <v>10</v>
      </c>
      <c r="B7" s="11" t="s">
        <v>25</v>
      </c>
      <c r="C7" s="3" t="s">
        <v>11</v>
      </c>
      <c r="D7" s="3">
        <v>13</v>
      </c>
      <c r="E7" s="2">
        <f>IFERROR(VLOOKUP(C7,[1]Sheet2!$A$4:$B$21,2,FALSE),0)</f>
        <v>13</v>
      </c>
      <c r="F7" s="8">
        <f>E7*100/D7</f>
        <v>100</v>
      </c>
    </row>
    <row r="8" spans="1:6" x14ac:dyDescent="0.3">
      <c r="A8">
        <v>9</v>
      </c>
      <c r="B8" s="11" t="s">
        <v>25</v>
      </c>
      <c r="C8" s="3" t="s">
        <v>12</v>
      </c>
      <c r="D8" s="3">
        <v>11</v>
      </c>
      <c r="E8" s="2">
        <f>IFERROR(VLOOKUP(C8,[1]Sheet2!$A$4:$B$21,2,FALSE),0)</f>
        <v>11</v>
      </c>
      <c r="F8" s="8">
        <f t="shared" si="0"/>
        <v>100</v>
      </c>
    </row>
    <row r="9" spans="1:6" x14ac:dyDescent="0.3">
      <c r="A9">
        <v>9</v>
      </c>
      <c r="B9" s="11" t="s">
        <v>25</v>
      </c>
      <c r="C9" s="4" t="s">
        <v>13</v>
      </c>
      <c r="D9" s="3">
        <v>14</v>
      </c>
      <c r="E9" s="2">
        <f>IFERROR(VLOOKUP(C9,[1]Sheet2!$A$4:$B$21,2,FALSE),0)</f>
        <v>14</v>
      </c>
      <c r="F9" s="8">
        <f t="shared" si="0"/>
        <v>100</v>
      </c>
    </row>
    <row r="10" spans="1:6" x14ac:dyDescent="0.3">
      <c r="A10">
        <v>9</v>
      </c>
      <c r="B10" s="11" t="s">
        <v>25</v>
      </c>
      <c r="C10" s="3" t="s">
        <v>14</v>
      </c>
      <c r="D10" s="3">
        <v>13</v>
      </c>
      <c r="E10" s="2">
        <f>IFERROR(VLOOKUP(C10,[1]Sheet2!$A$4:$B$21,2,FALSE),0)</f>
        <v>13</v>
      </c>
      <c r="F10" s="8">
        <f t="shared" si="0"/>
        <v>100</v>
      </c>
    </row>
    <row r="11" spans="1:6" x14ac:dyDescent="0.3">
      <c r="A11">
        <v>9</v>
      </c>
      <c r="B11" s="11" t="s">
        <v>26</v>
      </c>
      <c r="C11" s="3" t="s">
        <v>15</v>
      </c>
      <c r="D11" s="3">
        <v>7</v>
      </c>
      <c r="E11" s="2">
        <f>IFERROR(VLOOKUP(C11,[1]Sheet2!$A$4:$B$21,2,FALSE),0)</f>
        <v>7</v>
      </c>
      <c r="F11" s="8">
        <f t="shared" si="0"/>
        <v>100</v>
      </c>
    </row>
    <row r="12" spans="1:6" x14ac:dyDescent="0.3">
      <c r="A12">
        <v>10</v>
      </c>
      <c r="B12" s="11" t="s">
        <v>26</v>
      </c>
      <c r="C12" s="3" t="s">
        <v>16</v>
      </c>
      <c r="D12" s="3">
        <v>10</v>
      </c>
      <c r="E12" s="2">
        <f>IFERROR(VLOOKUP(C12,[1]Sheet2!$A$4:$B$21,2,FALSE),0)</f>
        <v>10</v>
      </c>
      <c r="F12" s="8">
        <f t="shared" si="0"/>
        <v>100</v>
      </c>
    </row>
    <row r="13" spans="1:6" x14ac:dyDescent="0.3">
      <c r="A13">
        <v>11</v>
      </c>
      <c r="B13" s="11" t="s">
        <v>26</v>
      </c>
      <c r="C13" s="4" t="s">
        <v>17</v>
      </c>
      <c r="D13" s="3">
        <v>12</v>
      </c>
      <c r="E13" s="2">
        <f>IFERROR(VLOOKUP(C13,[1]Sheet2!$A$4:$B$21,2,FALSE),0)</f>
        <v>12</v>
      </c>
      <c r="F13" s="8">
        <f t="shared" si="0"/>
        <v>100</v>
      </c>
    </row>
    <row r="14" spans="1:6" x14ac:dyDescent="0.3">
      <c r="A14">
        <v>12</v>
      </c>
      <c r="B14" s="11" t="s">
        <v>26</v>
      </c>
      <c r="C14" s="3" t="s">
        <v>18</v>
      </c>
      <c r="D14" s="3">
        <v>11</v>
      </c>
      <c r="E14" s="2">
        <f>IFERROR(VLOOKUP(C14,[1]Sheet2!$A$4:$B$21,2,FALSE),0)</f>
        <v>11</v>
      </c>
      <c r="F14" s="8">
        <f t="shared" si="0"/>
        <v>100</v>
      </c>
    </row>
    <row r="15" spans="1:6" x14ac:dyDescent="0.3">
      <c r="A15">
        <v>12</v>
      </c>
      <c r="B15" s="11" t="s">
        <v>26</v>
      </c>
      <c r="C15" s="4" t="s">
        <v>19</v>
      </c>
      <c r="D15" s="3">
        <v>11</v>
      </c>
      <c r="E15" s="2">
        <f>IFERROR(VLOOKUP(C15,[1]Sheet2!$A$4:$B$21,2,FALSE),0)</f>
        <v>11</v>
      </c>
      <c r="F15" s="8">
        <f t="shared" si="0"/>
        <v>100</v>
      </c>
    </row>
    <row r="16" spans="1:6" x14ac:dyDescent="0.3">
      <c r="A16">
        <v>12</v>
      </c>
      <c r="B16" s="11" t="s">
        <v>27</v>
      </c>
      <c r="C16" s="3" t="s">
        <v>20</v>
      </c>
      <c r="D16" s="3">
        <v>12</v>
      </c>
      <c r="E16" s="2">
        <f>IFERROR(VLOOKUP(C16,[1]Sheet2!$A$4:$B$21,2,FALSE),0)</f>
        <v>12</v>
      </c>
      <c r="F16" s="8">
        <f t="shared" si="0"/>
        <v>100</v>
      </c>
    </row>
    <row r="17" spans="1:6" x14ac:dyDescent="0.3">
      <c r="A17">
        <v>12</v>
      </c>
      <c r="B17" s="11" t="s">
        <v>27</v>
      </c>
      <c r="C17" s="3" t="s">
        <v>21</v>
      </c>
      <c r="D17" s="3">
        <v>6</v>
      </c>
      <c r="E17" s="2">
        <f>IFERROR(VLOOKUP(C17,[1]Sheet2!$A$4:$B$21,2,FALSE),0)</f>
        <v>6</v>
      </c>
      <c r="F17" s="8">
        <f>E17*100/D17</f>
        <v>100</v>
      </c>
    </row>
    <row r="18" spans="1:6" x14ac:dyDescent="0.3">
      <c r="A18">
        <v>12</v>
      </c>
      <c r="B18" s="11" t="s">
        <v>27</v>
      </c>
      <c r="C18" s="3" t="s">
        <v>22</v>
      </c>
      <c r="D18" s="3">
        <v>13</v>
      </c>
      <c r="E18" s="2">
        <f>IFERROR(VLOOKUP(C18,[1]Sheet2!$A$4:$B$21,2,FALSE),0)</f>
        <v>13</v>
      </c>
      <c r="F18" s="8">
        <f t="shared" si="0"/>
        <v>100</v>
      </c>
    </row>
    <row r="19" spans="1:6" ht="15" thickBot="1" x14ac:dyDescent="0.35">
      <c r="A19">
        <v>11</v>
      </c>
      <c r="B19" s="11" t="s">
        <v>27</v>
      </c>
      <c r="C19" s="3" t="s">
        <v>23</v>
      </c>
      <c r="D19" s="5">
        <v>15</v>
      </c>
      <c r="E19" s="2">
        <f>IFERROR(VLOOKUP(C19,[1]Sheet2!$A$4:$B$21,2,FALSE),0)</f>
        <v>15</v>
      </c>
      <c r="F19" s="9">
        <f t="shared" si="0"/>
        <v>100</v>
      </c>
    </row>
    <row r="20" spans="1:6" ht="15" thickBot="1" x14ac:dyDescent="0.35">
      <c r="D20" s="6"/>
      <c r="E20" s="6"/>
      <c r="F20" s="10"/>
    </row>
  </sheetData>
  <conditionalFormatting sqref="F2:F19">
    <cfRule type="expression" dxfId="0" priority="1">
      <formula>F2&lt;100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MyBook Hype</cp:lastModifiedBy>
  <dcterms:created xsi:type="dcterms:W3CDTF">2025-12-27T00:01:39Z</dcterms:created>
  <dcterms:modified xsi:type="dcterms:W3CDTF">2025-12-27T00:06:43Z</dcterms:modified>
</cp:coreProperties>
</file>